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ơ sở dữ liệu virus" sheetId="1" state="visible" r:id="rId2"/>
    <sheet name="Nhật ký hệ thống" sheetId="2" state="visible" r:id="rId3"/>
    <sheet name="Báo cáo an ninh" sheetId="3" state="visible" r:id="rId4"/>
  </sheets>
  <definedNames>
    <definedName function="false" hidden="true" localSheetId="0" name="_xlnm._FilterDatabase" vbProcedure="false">'Cơ sở dữ liệu virus'!$A$1:$D$5</definedName>
    <definedName function="false" hidden="true" localSheetId="1" name="_xlnm._FilterDatabase" vbProcedure="false">'Nhật ký hệ thống'!$A$1:$I$13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<sst xmlns="http://schemas.openxmlformats.org/spreadsheetml/2006/main" count="109" uniqueCount="60">
  <si>
    <t xml:space="preserve">Mã loại</t>
  </si>
  <si>
    <t xml:space="preserve">Tên mã độc</t>
  </si>
  <si>
    <t xml:space="preserve">Mô tả</t>
  </si>
  <si>
    <t xml:space="preserve">Mức độ mặc định</t>
  </si>
  <si>
    <t xml:space="preserve">MDL_1023</t>
  </si>
  <si>
    <t xml:space="preserve">Emotet</t>
  </si>
  <si>
    <t xml:space="preserve">Banking Trojan (Mã độc đánh cắp thông tin ngân hàng)</t>
  </si>
  <si>
    <t xml:space="preserve">Cao</t>
  </si>
  <si>
    <t xml:space="preserve">MDL_2045</t>
  </si>
  <si>
    <t xml:space="preserve">Lokibot</t>
  </si>
  <si>
    <t xml:space="preserve">Info Stealer (Mã độc đánh cắp thông tin định danh)</t>
  </si>
  <si>
    <t xml:space="preserve">Trung bình</t>
  </si>
  <si>
    <t xml:space="preserve">MDL_3099</t>
  </si>
  <si>
    <t xml:space="preserve">Cobalt Strike</t>
  </si>
  <si>
    <t xml:space="preserve">Penetration Tool (Công cụ xâm nhập và điều khiển từ xa)</t>
  </si>
  <si>
    <t xml:space="preserve">MDL_9999</t>
  </si>
  <si>
    <t xml:space="preserve">Khác</t>
  </si>
  <si>
    <t xml:space="preserve">Adware / Cảnh báo thăm dò cổng dịch vụ thông thường</t>
  </si>
  <si>
    <t xml:space="preserve">Thấp</t>
  </si>
  <si>
    <t xml:space="preserve">STT</t>
  </si>
  <si>
    <t xml:space="preserve">Thời gian</t>
  </si>
  <si>
    <t xml:space="preserve">Nguồn (IP)</t>
  </si>
  <si>
    <t xml:space="preserve">IP đích</t>
  </si>
  <si>
    <t xml:space="preserve">Loại mã độc (ID)</t>
  </si>
  <si>
    <t xml:space="preserve">Mức độ tại Log</t>
  </si>
  <si>
    <t xml:space="preserve">Tên mã độc (VLOOKUP+TRIM)</t>
  </si>
  <si>
    <t xml:space="preserve">Mô tả loại mã độc (VLOOKUP+TRIM)</t>
  </si>
  <si>
    <t xml:space="preserve">Mức độ chuẩn (VLOOKUP+TRIM)</t>
  </si>
  <si>
    <t xml:space="preserve">2024-05-20 08:15:23</t>
  </si>
  <si>
    <t xml:space="preserve">192.168.1.10</t>
  </si>
  <si>
    <t xml:space="preserve">10.0.0.5</t>
  </si>
  <si>
    <t xml:space="preserve">2024-05-20 08:17:11</t>
  </si>
  <si>
    <t xml:space="preserve">192.168.1.23</t>
  </si>
  <si>
    <t xml:space="preserve">10.0.0.8</t>
  </si>
  <si>
    <t xml:space="preserve">2024-05-20 08:21:02</t>
  </si>
  <si>
    <t xml:space="preserve">10.0.0.12</t>
  </si>
  <si>
    <t xml:space="preserve">2024-05-20 09:05:40</t>
  </si>
  <si>
    <t xml:space="preserve">192.168.1.45</t>
  </si>
  <si>
    <t xml:space="preserve">2024-05-20 09:42:18</t>
  </si>
  <si>
    <t xml:space="preserve">192.168.1.19</t>
  </si>
  <si>
    <t xml:space="preserve">10.0.0.15</t>
  </si>
  <si>
    <t xml:space="preserve">2024-05-20 10:14:09</t>
  </si>
  <si>
    <t xml:space="preserve">2024-05-20 11:30:55</t>
  </si>
  <si>
    <t xml:space="preserve">192.168.1.32</t>
  </si>
  <si>
    <t xml:space="preserve">10.0.0.20</t>
  </si>
  <si>
    <t xml:space="preserve">2024-05-20 13:12:44</t>
  </si>
  <si>
    <t xml:space="preserve">192.168.1.50</t>
  </si>
  <si>
    <t xml:space="preserve">2024-05-20 14:50:01</t>
  </si>
  <si>
    <t xml:space="preserve">2024-05-20 16:08:33</t>
  </si>
  <si>
    <t xml:space="preserve">192.168.1.61</t>
  </si>
  <si>
    <t xml:space="preserve">10.0.0.25</t>
  </si>
  <si>
    <t xml:space="preserve">2024-05-20 18:22:10</t>
  </si>
  <si>
    <t xml:space="preserve">2024-05-20 20:05:49</t>
  </si>
  <si>
    <t xml:space="preserve">192.168.1.28</t>
  </si>
  <si>
    <t xml:space="preserve">Mức độ</t>
  </si>
  <si>
    <t xml:space="preserve">Số lượng cảnh báo</t>
  </si>
  <si>
    <t xml:space="preserve">Tỷ lệ (%)</t>
  </si>
  <si>
    <t xml:space="preserve">TỔNG CỘNG</t>
  </si>
  <si>
    <t xml:space="preserve">Tổng cảnh báo toàn hệ thống</t>
  </si>
  <si>
    <t xml:space="preserve">Tất cả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</si>
</sst>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Inter"/>
      <family val="0"/>
      <charset val="1"/>
    </font>
    <font>
      <b val="true"/>
      <sz val="10"/>
      <color rgb="FF0F172A"/>
      <name val="Inter"/>
      <family val="0"/>
      <charset val="1"/>
    </font>
    <font>
      <sz val="10"/>
      <color rgb="FF0F172A"/>
      <name val="Inter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1F5F9"/>
        <bgColor rgb="FFF9F9F9"/>
      </patternFill>
    </fill>
    <fill>
      <patternFill patternType="solid">
        <fgColor rgb="FFDBEAF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8A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F172A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Thống kê Cảnh báo theo Loại Mã độc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'Báo cáo an ninh'!D1</c:f>
              <c:strCache>
                <c:ptCount val="1"/>
                <c:pt idx="0">
                  <c:v>Số lượng cảnh báo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'Báo cáo an ninh'!$B$2:$B$5</c:f>
              <c:strCache>
                <c:ptCount val="4"/>
                <c:pt idx="0">
                  <c:v>Emotet</c:v>
                </c:pt>
                <c:pt idx="1">
                  <c:v>Lokibot</c:v>
                </c:pt>
                <c:pt idx="2">
                  <c:v>Cobalt Strike</c:v>
                </c:pt>
                <c:pt idx="3">
                  <c:v>Khác</c:v>
                </c:pt>
              </c:strCache>
            </c:strRef>
          </c:cat>
          <c:val>
            <c:numRef>
              <c:f>'Báo cáo an ninh'!$D$2:$D$5</c:f>
              <c:numCache>
                <c:formatCode>General</c:formatCode>
                <c:ptCount val="4"/>
                <c:pt idx="0">
                  <c:v>312</c:v>
                </c:pt>
                <c:pt idx="1">
                  <c:v>645</c:v>
                </c:pt>
                <c:pt idx="2">
                  <c:v>186</c:v>
                </c:pt>
                <c:pt idx="3">
                  <c:v>105</c:v>
                </c:pt>
              </c:numCache>
            </c:numRef>
          </c:val>
        </c:ser>
        <c:gapWidth val="150"/>
        <c:overlap val="0"/>
        <c:axId val="15557379"/>
        <c:axId val="58010292"/>
      </c:barChart>
      <c:catAx>
        <c:axId val="15557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Tên mã độc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10292"/>
        <c:crosses val="autoZero"/>
        <c:auto val="1"/>
        <c:lblAlgn val="ctr"/>
        <c:lblOffset val="100"/>
        <c:noMultiLvlLbl val="0"/>
      </c:catAx>
      <c:valAx>
        <c:axId val="58010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lượng cảnh báo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57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17</xdr:row>
      <xdr:rowOff>151560</xdr:rowOff>
    </xdr:to>
    <xdr:graphicFrame>
      <xdr:nvGraphicFramePr>
        <xdr:cNvPr id="0" name="Chart 1"/>
        <xdr:cNvGraphicFramePr/>
      </xdr:nvGraphicFramePr>
      <xdr:xfrm>
        <a:off x="7119000" y="3142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21" hidden="false" customHeight="true" outlineLevel="0" collapsed="false">
      <c r="A2" s="3" t="s">
        <v>4</v>
      </c>
      <c r="B2" s="4" t="s">
        <v>5</v>
      </c>
      <c r="C2" s="4" t="s">
        <v>6</v>
      </c>
      <c r="D2" s="5" t="s">
        <v>7</v>
      </c>
    </row>
    <row r="3" customFormat="false" ht="21" hidden="false" customHeight="true" outlineLevel="0" collapsed="false">
      <c r="A3" s="6" t="s">
        <v>8</v>
      </c>
      <c r="B3" s="7" t="s">
        <v>9</v>
      </c>
      <c r="C3" s="7" t="s">
        <v>10</v>
      </c>
      <c r="D3" s="8" t="s">
        <v>11</v>
      </c>
    </row>
    <row r="4" customFormat="false" ht="21" hidden="false" customHeight="true" outlineLevel="0" collapsed="false">
      <c r="A4" s="3" t="s">
        <v>12</v>
      </c>
      <c r="B4" s="4" t="s">
        <v>13</v>
      </c>
      <c r="C4" s="4" t="s">
        <v>14</v>
      </c>
      <c r="D4" s="5" t="s">
        <v>7</v>
      </c>
    </row>
    <row r="5" customFormat="false" ht="21" hidden="false" customHeight="true" outlineLevel="0" collapsed="false">
      <c r="A5" s="6" t="s">
        <v>15</v>
      </c>
      <c r="B5" s="7" t="s">
        <v>16</v>
      </c>
      <c r="C5" s="7" t="s">
        <v>17</v>
      </c>
      <c r="D5" s="8" t="s">
        <v>18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30"/>
    <col collapsed="false" customWidth="true" hidden="false" outlineLevel="0" max="8" min="8" style="0" width="37"/>
    <col collapsed="false" customWidth="true" hidden="false" outlineLevel="0" max="9" min="9" style="0" width="32"/>
  </cols>
  <sheetData>
    <row r="1" customFormat="false" ht="25.5" hidden="false" customHeight="true" outlineLevel="0" collapsed="false">
      <c r="A1" s="1" t="s">
        <v>19</v>
      </c>
      <c r="B1" s="1" t="s">
        <v>20</v>
      </c>
      <c r="C1" s="2" t="s">
        <v>21</v>
      </c>
      <c r="D1" s="2" t="s">
        <v>22</v>
      </c>
      <c r="E1" s="1" t="s">
        <v>23</v>
      </c>
      <c r="F1" s="1" t="s">
        <v>24</v>
      </c>
      <c r="G1" s="2" t="s">
        <v>25</v>
      </c>
      <c r="H1" s="2" t="s">
        <v>26</v>
      </c>
      <c r="I1" s="1" t="s">
        <v>27</v>
      </c>
    </row>
    <row r="2" customFormat="false" ht="21" hidden="false" customHeight="true" outlineLevel="0" collapsed="false">
      <c r="A2" s="9" t="n">
        <v>1</v>
      </c>
      <c r="B2" s="5" t="s">
        <v>28</v>
      </c>
      <c r="C2" s="4" t="s">
        <v>29</v>
      </c>
      <c r="D2" s="4" t="s">
        <v>30</v>
      </c>
      <c r="E2" s="5" t="s">
        <v>4</v>
      </c>
      <c r="F2" s="5" t="s">
        <v>7</v>
      </c>
      <c r="G2" s="4" t="str">
        <f aca="false">IFERROR(VLOOKUP(TRIM(E2),'Cơ sở dữ liệu virus'!$A$2:$D$5,2,FALSE()),"Không xác định")</f>
        <v>Emotet</v>
      </c>
      <c r="H2" s="4" t="str">
        <f aca="false">IFERROR(VLOOKUP(TRIM(E2),'Cơ sở dữ liệu virus'!$A$2:$D$5,3,FALSE()),"Không xác định")</f>
        <v>Banking Trojan (Mã độc đánh cắp thông tin ngân hàng)</v>
      </c>
      <c r="I2" s="5" t="str">
        <f aca="false">IFERROR(VLOOKUP(TRIM(E2),'Cơ sở dữ liệu virus'!$A$2:$D$5,4,FALSE()),"Không xác định")</f>
        <v>Cao</v>
      </c>
    </row>
    <row r="3" customFormat="false" ht="21" hidden="false" customHeight="true" outlineLevel="0" collapsed="false">
      <c r="A3" s="10" t="n">
        <v>2</v>
      </c>
      <c r="B3" s="8" t="s">
        <v>31</v>
      </c>
      <c r="C3" s="7" t="s">
        <v>32</v>
      </c>
      <c r="D3" s="7" t="s">
        <v>33</v>
      </c>
      <c r="E3" s="8" t="s">
        <v>8</v>
      </c>
      <c r="F3" s="8" t="s">
        <v>11</v>
      </c>
      <c r="G3" s="7" t="str">
        <f aca="false">IFERROR(VLOOKUP(TRIM(E3),'Cơ sở dữ liệu virus'!$A$2:$D$5,2,FALSE()),"Không xác định")</f>
        <v>Lokibot</v>
      </c>
      <c r="H3" s="7" t="str">
        <f aca="false">IFERROR(VLOOKUP(TRIM(E3),'Cơ sở dữ liệu virus'!$A$2:$D$5,3,FALSE()),"Không xác định")</f>
        <v>Info Stealer (Mã độc đánh cắp thông tin định danh)</v>
      </c>
      <c r="I3" s="8" t="str">
        <f aca="false">IFERROR(VLOOKUP(TRIM(E3),'Cơ sở dữ liệu virus'!$A$2:$D$5,4,FALSE()),"Không xác định")</f>
        <v>Trung bình</v>
      </c>
    </row>
    <row r="4" customFormat="false" ht="21" hidden="false" customHeight="true" outlineLevel="0" collapsed="false">
      <c r="A4" s="9" t="n">
        <v>3</v>
      </c>
      <c r="B4" s="5" t="s">
        <v>34</v>
      </c>
      <c r="C4" s="4" t="s">
        <v>29</v>
      </c>
      <c r="D4" s="4" t="s">
        <v>35</v>
      </c>
      <c r="E4" s="5" t="s">
        <v>12</v>
      </c>
      <c r="F4" s="5" t="s">
        <v>7</v>
      </c>
      <c r="G4" s="4" t="str">
        <f aca="false">IFERROR(VLOOKUP(TRIM(E4),'Cơ sở dữ liệu virus'!$A$2:$D$5,2,FALSE()),"Không xác định")</f>
        <v>Cobalt Strike</v>
      </c>
      <c r="H4" s="4" t="str">
        <f aca="false">IFERROR(VLOOKUP(TRIM(E4),'Cơ sở dữ liệu virus'!$A$2:$D$5,3,FALSE()),"Không xác định")</f>
        <v>Penetration Tool (Công cụ xâm nhập và điều khiển từ xa)</v>
      </c>
      <c r="I4" s="5" t="str">
        <f aca="false">IFERROR(VLOOKUP(TRIM(E4),'Cơ sở dữ liệu virus'!$A$2:$D$5,4,FALSE()),"Không xác định")</f>
        <v>Cao</v>
      </c>
    </row>
    <row r="5" customFormat="false" ht="21" hidden="false" customHeight="true" outlineLevel="0" collapsed="false">
      <c r="A5" s="10" t="n">
        <v>4</v>
      </c>
      <c r="B5" s="8" t="s">
        <v>36</v>
      </c>
      <c r="C5" s="7" t="s">
        <v>37</v>
      </c>
      <c r="D5" s="7" t="s">
        <v>33</v>
      </c>
      <c r="E5" s="8" t="s">
        <v>8</v>
      </c>
      <c r="F5" s="8" t="s">
        <v>11</v>
      </c>
      <c r="G5" s="7" t="str">
        <f aca="false">IFERROR(VLOOKUP(TRIM(E5),'Cơ sở dữ liệu virus'!$A$2:$D$5,2,FALSE()),"Không xác định")</f>
        <v>Lokibot</v>
      </c>
      <c r="H5" s="7" t="str">
        <f aca="false">IFERROR(VLOOKUP(TRIM(E5),'Cơ sở dữ liệu virus'!$A$2:$D$5,3,FALSE()),"Không xác định")</f>
        <v>Info Stealer (Mã độc đánh cắp thông tin định danh)</v>
      </c>
      <c r="I5" s="8" t="str">
        <f aca="false">IFERROR(VLOOKUP(TRIM(E5),'Cơ sở dữ liệu virus'!$A$2:$D$5,4,FALSE()),"Không xác định")</f>
        <v>Trung bình</v>
      </c>
    </row>
    <row r="6" customFormat="false" ht="21" hidden="false" customHeight="true" outlineLevel="0" collapsed="false">
      <c r="A6" s="9" t="n">
        <v>5</v>
      </c>
      <c r="B6" s="5" t="s">
        <v>38</v>
      </c>
      <c r="C6" s="4" t="s">
        <v>39</v>
      </c>
      <c r="D6" s="4" t="s">
        <v>40</v>
      </c>
      <c r="E6" s="5" t="s">
        <v>15</v>
      </c>
      <c r="F6" s="5" t="s">
        <v>18</v>
      </c>
      <c r="G6" s="4" t="str">
        <f aca="false">IFERROR(VLOOKUP(TRIM(E6),'Cơ sở dữ liệu virus'!$A$2:$D$5,2,FALSE()),"Không xác định")</f>
        <v>Khác</v>
      </c>
      <c r="H6" s="4" t="str">
        <f aca="false">IFERROR(VLOOKUP(TRIM(E6),'Cơ sở dữ liệu virus'!$A$2:$D$5,3,FALSE()),"Không xác định")</f>
        <v>Adware / Cảnh báo thăm dò cổng dịch vụ thông thường</v>
      </c>
      <c r="I6" s="5" t="str">
        <f aca="false">IFERROR(VLOOKUP(TRIM(E6),'Cơ sở dữ liệu virus'!$A$2:$D$5,4,FALSE()),"Không xác định")</f>
        <v>Thấp</v>
      </c>
    </row>
    <row r="7" customFormat="false" ht="21" hidden="false" customHeight="true" outlineLevel="0" collapsed="false">
      <c r="A7" s="10" t="n">
        <v>6</v>
      </c>
      <c r="B7" s="8" t="s">
        <v>41</v>
      </c>
      <c r="C7" s="7" t="s">
        <v>29</v>
      </c>
      <c r="D7" s="7" t="s">
        <v>30</v>
      </c>
      <c r="E7" s="8" t="s">
        <v>4</v>
      </c>
      <c r="F7" s="8" t="s">
        <v>7</v>
      </c>
      <c r="G7" s="7" t="str">
        <f aca="false">IFERROR(VLOOKUP(TRIM(E7),'Cơ sở dữ liệu virus'!$A$2:$D$5,2,FALSE()),"Không xác định")</f>
        <v>Emotet</v>
      </c>
      <c r="H7" s="7" t="str">
        <f aca="false">IFERROR(VLOOKUP(TRIM(E7),'Cơ sở dữ liệu virus'!$A$2:$D$5,3,FALSE()),"Không xác định")</f>
        <v>Banking Trojan (Mã độc đánh cắp thông tin ngân hàng)</v>
      </c>
      <c r="I7" s="8" t="str">
        <f aca="false">IFERROR(VLOOKUP(TRIM(E7),'Cơ sở dữ liệu virus'!$A$2:$D$5,4,FALSE()),"Không xác định")</f>
        <v>Cao</v>
      </c>
    </row>
    <row r="8" customFormat="false" ht="21" hidden="false" customHeight="true" outlineLevel="0" collapsed="false">
      <c r="A8" s="9" t="n">
        <v>7</v>
      </c>
      <c r="B8" s="5" t="s">
        <v>42</v>
      </c>
      <c r="C8" s="4" t="s">
        <v>43</v>
      </c>
      <c r="D8" s="4" t="s">
        <v>44</v>
      </c>
      <c r="E8" s="5" t="s">
        <v>8</v>
      </c>
      <c r="F8" s="5" t="s">
        <v>11</v>
      </c>
      <c r="G8" s="4" t="str">
        <f aca="false">IFERROR(VLOOKUP(TRIM(E8),'Cơ sở dữ liệu virus'!$A$2:$D$5,2,FALSE()),"Không xác định")</f>
        <v>Lokibot</v>
      </c>
      <c r="H8" s="4" t="str">
        <f aca="false">IFERROR(VLOOKUP(TRIM(E8),'Cơ sở dữ liệu virus'!$A$2:$D$5,3,FALSE()),"Không xác định")</f>
        <v>Info Stealer (Mã độc đánh cắp thông tin định danh)</v>
      </c>
      <c r="I8" s="5" t="str">
        <f aca="false">IFERROR(VLOOKUP(TRIM(E8),'Cơ sở dữ liệu virus'!$A$2:$D$5,4,FALSE()),"Không xác định")</f>
        <v>Trung bình</v>
      </c>
    </row>
    <row r="9" customFormat="false" ht="21" hidden="false" customHeight="true" outlineLevel="0" collapsed="false">
      <c r="A9" s="10" t="n">
        <v>8</v>
      </c>
      <c r="B9" s="8" t="s">
        <v>45</v>
      </c>
      <c r="C9" s="7" t="s">
        <v>46</v>
      </c>
      <c r="D9" s="7" t="s">
        <v>35</v>
      </c>
      <c r="E9" s="8" t="s">
        <v>12</v>
      </c>
      <c r="F9" s="8" t="s">
        <v>7</v>
      </c>
      <c r="G9" s="7" t="str">
        <f aca="false">IFERROR(VLOOKUP(TRIM(E9),'Cơ sở dữ liệu virus'!$A$2:$D$5,2,FALSE()),"Không xác định")</f>
        <v>Cobalt Strike</v>
      </c>
      <c r="H9" s="7" t="str">
        <f aca="false">IFERROR(VLOOKUP(TRIM(E9),'Cơ sở dữ liệu virus'!$A$2:$D$5,3,FALSE()),"Không xác định")</f>
        <v>Penetration Tool (Công cụ xâm nhập và điều khiển từ xa)</v>
      </c>
      <c r="I9" s="8" t="str">
        <f aca="false">IFERROR(VLOOKUP(TRIM(E9),'Cơ sở dữ liệu virus'!$A$2:$D$5,4,FALSE()),"Không xác định")</f>
        <v>Cao</v>
      </c>
    </row>
    <row r="10" customFormat="false" ht="21" hidden="false" customHeight="true" outlineLevel="0" collapsed="false">
      <c r="A10" s="9" t="n">
        <v>9</v>
      </c>
      <c r="B10" s="5" t="s">
        <v>47</v>
      </c>
      <c r="C10" s="4" t="s">
        <v>32</v>
      </c>
      <c r="D10" s="4" t="s">
        <v>33</v>
      </c>
      <c r="E10" s="5" t="s">
        <v>8</v>
      </c>
      <c r="F10" s="5" t="s">
        <v>11</v>
      </c>
      <c r="G10" s="4" t="str">
        <f aca="false">IFERROR(VLOOKUP(TRIM(E10),'Cơ sở dữ liệu virus'!$A$2:$D$5,2,FALSE()),"Không xác định")</f>
        <v>Lokibot</v>
      </c>
      <c r="H10" s="4" t="str">
        <f aca="false">IFERROR(VLOOKUP(TRIM(E10),'Cơ sở dữ liệu virus'!$A$2:$D$5,3,FALSE()),"Không xác định")</f>
        <v>Info Stealer (Mã độc đánh cắp thông tin định danh)</v>
      </c>
      <c r="I10" s="5" t="str">
        <f aca="false">IFERROR(VLOOKUP(TRIM(E10),'Cơ sở dữ liệu virus'!$A$2:$D$5,4,FALSE()),"Không xác định")</f>
        <v>Trung bình</v>
      </c>
    </row>
    <row r="11" customFormat="false" ht="21" hidden="false" customHeight="true" outlineLevel="0" collapsed="false">
      <c r="A11" s="10" t="n">
        <v>10</v>
      </c>
      <c r="B11" s="8" t="s">
        <v>48</v>
      </c>
      <c r="C11" s="7" t="s">
        <v>49</v>
      </c>
      <c r="D11" s="7" t="s">
        <v>50</v>
      </c>
      <c r="E11" s="8" t="s">
        <v>15</v>
      </c>
      <c r="F11" s="8" t="s">
        <v>18</v>
      </c>
      <c r="G11" s="7" t="str">
        <f aca="false">IFERROR(VLOOKUP(TRIM(E11),'Cơ sở dữ liệu virus'!$A$2:$D$5,2,FALSE()),"Không xác định")</f>
        <v>Khác</v>
      </c>
      <c r="H11" s="7" t="str">
        <f aca="false">IFERROR(VLOOKUP(TRIM(E11),'Cơ sở dữ liệu virus'!$A$2:$D$5,3,FALSE()),"Không xác định")</f>
        <v>Adware / Cảnh báo thăm dò cổng dịch vụ thông thường</v>
      </c>
      <c r="I11" s="8" t="str">
        <f aca="false">IFERROR(VLOOKUP(TRIM(E11),'Cơ sở dữ liệu virus'!$A$2:$D$5,4,FALSE()),"Không xác định")</f>
        <v>Thấp</v>
      </c>
    </row>
    <row r="12" customFormat="false" ht="21" hidden="false" customHeight="true" outlineLevel="0" collapsed="false">
      <c r="A12" s="9" t="n">
        <v>11</v>
      </c>
      <c r="B12" s="5" t="s">
        <v>51</v>
      </c>
      <c r="C12" s="4" t="s">
        <v>29</v>
      </c>
      <c r="D12" s="4" t="s">
        <v>30</v>
      </c>
      <c r="E12" s="5" t="s">
        <v>4</v>
      </c>
      <c r="F12" s="5" t="s">
        <v>7</v>
      </c>
      <c r="G12" s="4" t="str">
        <f aca="false">IFERROR(VLOOKUP(TRIM(E12),'Cơ sở dữ liệu virus'!$A$2:$D$5,2,FALSE()),"Không xác định")</f>
        <v>Emotet</v>
      </c>
      <c r="H12" s="4" t="str">
        <f aca="false">IFERROR(VLOOKUP(TRIM(E12),'Cơ sở dữ liệu virus'!$A$2:$D$5,3,FALSE()),"Không xác định")</f>
        <v>Banking Trojan (Mã độc đánh cắp thông tin ngân hàng)</v>
      </c>
      <c r="I12" s="5" t="str">
        <f aca="false">IFERROR(VLOOKUP(TRIM(E12),'Cơ sở dữ liệu virus'!$A$2:$D$5,4,FALSE()),"Không xác định")</f>
        <v>Cao</v>
      </c>
    </row>
    <row r="13" customFormat="false" ht="21" hidden="false" customHeight="true" outlineLevel="0" collapsed="false">
      <c r="A13" s="10" t="n">
        <v>12</v>
      </c>
      <c r="B13" s="8" t="s">
        <v>52</v>
      </c>
      <c r="C13" s="7" t="s">
        <v>53</v>
      </c>
      <c r="D13" s="7" t="s">
        <v>33</v>
      </c>
      <c r="E13" s="8" t="s">
        <v>8</v>
      </c>
      <c r="F13" s="8" t="s">
        <v>11</v>
      </c>
      <c r="G13" s="7" t="str">
        <f aca="false">IFERROR(VLOOKUP(TRIM(E13),'Cơ sở dữ liệu virus'!$A$2:$D$5,2,FALSE()),"Không xác định")</f>
        <v>Lokibot</v>
      </c>
      <c r="H13" s="7" t="str">
        <f aca="false">IFERROR(VLOOKUP(TRIM(E13),'Cơ sở dữ liệu virus'!$A$2:$D$5,3,FALSE()),"Không xác định")</f>
        <v>Info Stealer (Mã độc đánh cắp thông tin định danh)</v>
      </c>
      <c r="I13" s="8" t="str">
        <f aca="false">IFERROR(VLOOKUP(TRIM(E13),'Cơ sở dữ liệu virus'!$A$2:$D$5,4,FALSE()),"Không xác định")</f>
        <v>Trung bình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4"/>
  </cols>
  <sheetData>
    <row r="1" customFormat="false" ht="24.75" hidden="false" customHeight="true" outlineLevel="0" collapsed="false">
      <c r="A1" s="1" t="s">
        <v>0</v>
      </c>
      <c r="B1" s="2" t="s">
        <v>1</v>
      </c>
      <c r="C1" s="1" t="s">
        <v>54</v>
      </c>
      <c r="D1" s="2" t="s">
        <v>55</v>
      </c>
      <c r="E1" s="2" t="s">
        <v>56</v>
      </c>
    </row>
    <row r="2" customFormat="false" ht="21" hidden="false" customHeight="true" outlineLevel="0" collapsed="false">
      <c r="A2" s="5" t="s">
        <v>4</v>
      </c>
      <c r="B2" s="4" t="s">
        <v>5</v>
      </c>
      <c r="C2" s="5" t="s">
        <v>7</v>
      </c>
      <c r="D2" s="9" t="n">
        <v>312</v>
      </c>
      <c r="E2" s="11" t="n">
        <f aca="false">D2/$D$6</f>
        <v>0.25</v>
      </c>
    </row>
    <row r="3" customFormat="false" ht="21" hidden="false" customHeight="true" outlineLevel="0" collapsed="false">
      <c r="A3" s="8" t="s">
        <v>8</v>
      </c>
      <c r="B3" s="7" t="s">
        <v>9</v>
      </c>
      <c r="C3" s="8" t="s">
        <v>11</v>
      </c>
      <c r="D3" s="10" t="n">
        <v>645</v>
      </c>
      <c r="E3" s="12" t="n">
        <f aca="false">D3/$D$6</f>
        <v>0.516826923076923</v>
      </c>
    </row>
    <row r="4" customFormat="false" ht="21" hidden="false" customHeight="true" outlineLevel="0" collapsed="false">
      <c r="A4" s="5" t="s">
        <v>12</v>
      </c>
      <c r="B4" s="4" t="s">
        <v>13</v>
      </c>
      <c r="C4" s="5" t="s">
        <v>7</v>
      </c>
      <c r="D4" s="9" t="n">
        <v>186</v>
      </c>
      <c r="E4" s="11" t="n">
        <f aca="false">D4/$D$6</f>
        <v>0.149038461538462</v>
      </c>
    </row>
    <row r="5" customFormat="false" ht="21" hidden="false" customHeight="true" outlineLevel="0" collapsed="false">
      <c r="A5" s="8" t="s">
        <v>15</v>
      </c>
      <c r="B5" s="7" t="s">
        <v>16</v>
      </c>
      <c r="C5" s="8" t="s">
        <v>18</v>
      </c>
      <c r="D5" s="10" t="n">
        <v>105</v>
      </c>
      <c r="E5" s="12" t="n">
        <f aca="false">D5/$D$6</f>
        <v>0.0841346153846154</v>
      </c>
    </row>
    <row r="6" customFormat="false" ht="22.5" hidden="false" customHeight="true" outlineLevel="0" collapsed="false">
      <c r="A6" s="13" t="s">
        <v>57</v>
      </c>
      <c r="B6" s="14" t="s">
        <v>58</v>
      </c>
      <c r="C6" s="13" t="s">
        <v>59</v>
      </c>
      <c r="D6" s="15" t="n">
        <f aca="false">SUM(D2:D5)</f>
        <v>1248</v>
      </c>
      <c r="E6" s="16" t="n">
        <f aca="false">SUM(E2:E5)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2026-10-27T00:01:21Z</dcterms:created>
  <dc:creator>openpyxl</dc:creator>
  <dc:description/>
  <dc:language>en-US</dc:language>
  <cp:lastModifiedBy/>
  <dcterms:modified xsi:type="dcterms:W3CDTF">2026-10-27T00:01:21Z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